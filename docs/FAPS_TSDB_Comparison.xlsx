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 Criteria" sheetId="1" state="visible" r:id="rId3"/>
    <sheet name="Candidate Technologies" sheetId="2" state="visible" r:id="rId4"/>
    <sheet name="Benchmark Results" sheetId="3" state="visible" r:id="rId5"/>
    <sheet name="Scoring Matrix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<sst xmlns="http://schemas.openxmlformats.org/spreadsheetml/2006/main" count="177" uniqueCount="131">
  <si>
    <t xml:space="preserve">Time-Series Database Evaluation Criteria</t>
  </si>
  <si>
    <t xml:space="preserve">FAPS Production Line - Database Technology Selection</t>
  </si>
  <si>
    <t xml:space="preserve">#</t>
  </si>
  <si>
    <t xml:space="preserve">Criterion</t>
  </si>
  <si>
    <t xml:space="preserve">What to measure</t>
  </si>
  <si>
    <t xml:space="preserve">Why it matters for FAPS</t>
  </si>
  <si>
    <t xml:space="preserve">Weight (1-5)</t>
  </si>
  <si>
    <t xml:space="preserve">Notes</t>
  </si>
  <si>
    <t xml:space="preserve">Ingestion throughput</t>
  </si>
  <si>
    <t xml:space="preserve">Rows/sec sustained write rate; behavior under concurrent writers from multiple production lines</t>
  </si>
  <si>
    <t xml:space="preserve">Production lines write continuously; can't afford write bottlenecks</t>
  </si>
  <si>
    <t xml:space="preserve">Point / range query latency</t>
  </si>
  <si>
    <t xml:space="preserve">Time to retrieve rows for one sensor/tag over a time window, at increasing table sizes (1M, 100M, 1B+ rows)</t>
  </si>
  <si>
    <t xml:space="preserve">Directly tests the reported 'slow row retrieval' problem</t>
  </si>
  <si>
    <t xml:space="preserve">Aggregation query latency</t>
  </si>
  <si>
    <t xml:space="preserve">Time for AVG/MIN/MAX/SUM over a column, with and without a time filter, at increasing table sizes</t>
  </si>
  <si>
    <t xml:space="preserve">Directly tests the reported 'slow AVG on big table' problem</t>
  </si>
  <si>
    <t xml:space="preserve">Scalability behavior (degradation curve)</t>
  </si>
  <si>
    <t xml:space="preserve">How latency changes as data grows: linear, sub-linear, or cliff-edge</t>
  </si>
  <si>
    <t xml:space="preserve">Tells us if the problem comes back after migration once data grows again</t>
  </si>
  <si>
    <t xml:space="preserve">Compression / storage footprint</t>
  </si>
  <si>
    <t xml:space="preserve">Disk size for the same dataset vs. raw CSV vs. current Postgres size</t>
  </si>
  <si>
    <t xml:space="preserve">Affects cost and how much data fits in RAM/cache (impacts criteria 2 &amp; 3)</t>
  </si>
  <si>
    <t xml:space="preserve">Continuous aggregates / downsampling</t>
  </si>
  <si>
    <t xml:space="preserve">Can the DB pre-compute rollups (hourly/daily avg) automatically, and how easily</t>
  </si>
  <si>
    <t xml:space="preserve">Solves the aggregation problem structurally instead of brute-forcing every query</t>
  </si>
  <si>
    <t xml:space="preserve">Partitioning / time-chunking model</t>
  </si>
  <si>
    <t xml:space="preserve">Is chunking by time automatic or manual to configure</t>
  </si>
  <si>
    <t xml:space="preserve">Determines whether the range-query problem is solved 'for free'</t>
  </si>
  <si>
    <t xml:space="preserve">Python client ergonomics</t>
  </si>
  <si>
    <t xml:space="preserve">Ease of connecting, inserting, querying from Python; driver maturity; async &amp; pandas support</t>
  </si>
  <si>
    <t xml:space="preserve">Explicit requirement from FAPS; affects day-to-day usability for the team</t>
  </si>
  <si>
    <t xml:space="preserve">Query language / SQL compatibility</t>
  </si>
  <si>
    <t xml:space="preserve">Full SQL vs. SQL-like vs. custom query language</t>
  </si>
  <si>
    <t xml:space="preserve">Affects learning curve and reuse of existing Postgres queries / BI tools</t>
  </si>
  <si>
    <t xml:space="preserve">Clustering / horizontal scaling limits</t>
  </si>
  <si>
    <t xml:space="preserve">Single-node ceiling and what's required to scale out (license tier, complexity)</t>
  </si>
  <si>
    <t xml:space="preserve">Answers 'how are they limited' - key open question from FAPS</t>
  </si>
  <si>
    <t xml:space="preserve">Operational complexity</t>
  </si>
  <si>
    <t xml:space="preserve">Setup complexity, backup/restore story, monitoring, maintenance overhead</t>
  </si>
  <si>
    <t xml:space="preserve">Someone at FAPS has to run this day-to-day after the research ends</t>
  </si>
  <si>
    <t xml:space="preserve">License &amp; cost</t>
  </si>
  <si>
    <t xml:space="preserve">Open-source core vs. paid clustering/enterprise features</t>
  </si>
  <si>
    <t xml:space="preserve">Determines what's usable long-term without licensing costs</t>
  </si>
  <si>
    <t xml:space="preserve">Ecosystem integration</t>
  </si>
  <si>
    <t xml:space="preserve">Grafana/BI tool support, existing connectors, community size and maturity</t>
  </si>
  <si>
    <t xml:space="preserve">Reduces integration risk beyond the database itself</t>
  </si>
  <si>
    <t xml:space="preserve">Candidate Technologies</t>
  </si>
  <si>
    <t xml:space="preserve">Technology</t>
  </si>
  <si>
    <t xml:space="preserve">Storage Model</t>
  </si>
  <si>
    <t xml:space="preserve">Partitioning / Chunking</t>
  </si>
  <si>
    <t xml:space="preserve">Continuous Aggregates</t>
  </si>
  <si>
    <t xml:space="preserve">Python Client</t>
  </si>
  <si>
    <t xml:space="preserve">Query Language</t>
  </si>
  <si>
    <t xml:space="preserve">Known Limits</t>
  </si>
  <si>
    <t xml:space="preserve">Priority / Shortlisted</t>
  </si>
  <si>
    <t xml:space="preserve">TimescaleDB</t>
  </si>
  <si>
    <t xml:space="preserve">Row-store, hypertables (chunked automatically by time)</t>
  </si>
  <si>
    <t xml:space="preserve">Automatic (hypertable chunks)</t>
  </si>
  <si>
    <t xml:space="preserve">Yes - native continuous aggregates</t>
  </si>
  <si>
    <t xml:space="preserve">psycopg2 / psycopg (same as Postgres, very mature)</t>
  </si>
  <si>
    <t xml:space="preserve">Full SQL (Postgres)</t>
  </si>
  <si>
    <t xml:space="preserve">Multi-node clustering is a paid/enterprise feature in newer versions - verify current licensing</t>
  </si>
  <si>
    <t xml:space="preserve">Yes - shortlisted</t>
  </si>
  <si>
    <t xml:space="preserve">ClickHouse</t>
  </si>
  <si>
    <t xml:space="preserve">Columnar, MergeTree engine</t>
  </si>
  <si>
    <t xml:space="preserve">Manual but simple (partition by time column)</t>
  </si>
  <si>
    <t xml:space="preserve">Materialized views act as continuous aggregates</t>
  </si>
  <si>
    <t xml:space="preserve">clickhouse-connect or clickhouse-driver (good, some async rough edges)</t>
  </si>
  <si>
    <t xml:space="preserve">SQL-like (close to standard SQL)</t>
  </si>
  <si>
    <t xml:space="preserve">Write patterns need care (batch inserts, not row-by-row)</t>
  </si>
  <si>
    <t xml:space="preserve">QuestDB</t>
  </si>
  <si>
    <t xml:space="preserve">Columnar, natively time-partitioned</t>
  </si>
  <si>
    <t xml:space="preserve">Automatic, purpose-built for time-series</t>
  </si>
  <si>
    <t xml:space="preserve">Yes (SAMPLE BY / materialized views)</t>
  </si>
  <si>
    <t xml:space="preserve">psycopg2 (Postgres wire protocol) or REST/ILP client</t>
  </si>
  <si>
    <t xml:space="preserve">SQL with time-series extensions (SAMPLE BY, LATEST ON)</t>
  </si>
  <si>
    <t xml:space="preserve">Younger project - verify maturity/community size</t>
  </si>
  <si>
    <t xml:space="preserve">Optional / stretch</t>
  </si>
  <si>
    <t xml:space="preserve">VictoriaMetrics</t>
  </si>
  <si>
    <t xml:space="preserve">Custom compressed columnar</t>
  </si>
  <si>
    <t xml:space="preserve">Automatic</t>
  </si>
  <si>
    <t xml:space="preserve">Yes, via rollup rules</t>
  </si>
  <si>
    <t xml:space="preserve">Mainly HTTP API / PromQL-style; no first-class SQL Python client</t>
  </si>
  <si>
    <t xml:space="preserve">MetricsQL (Prometheus-like)</t>
  </si>
  <si>
    <t xml:space="preserve">Better fit for metrics/monitoring than ad-hoc SQL analytics</t>
  </si>
  <si>
    <t xml:space="preserve">Not shortlisted</t>
  </si>
  <si>
    <t xml:space="preserve">Apache IoTDB</t>
  </si>
  <si>
    <t xml:space="preserve">Columnar, tree-based device/measurement hierarchy</t>
  </si>
  <si>
    <t xml:space="preserve">Yes</t>
  </si>
  <si>
    <t xml:space="preserve">Official Python client (Thrift-based), less mature ecosystem than SQL clients</t>
  </si>
  <si>
    <t xml:space="preserve">SQL-like, tailored to device/sensor hierarchies</t>
  </si>
  <si>
    <t xml:space="preserve">Purpose-built for industrial IoT - directly relevant to production-line data</t>
  </si>
  <si>
    <t xml:space="preserve">TDengine</t>
  </si>
  <si>
    <t xml:space="preserve">Columnar, 'one table per device' model</t>
  </si>
  <si>
    <t xml:space="preserve">Yes (continuous query)</t>
  </si>
  <si>
    <t xml:space="preserve">taospy (official client)</t>
  </si>
  <si>
    <t xml:space="preserve">SQL-like</t>
  </si>
  <si>
    <t xml:space="preserve">Strong for very high device/sensor cardinality; verify clustering license terms</t>
  </si>
  <si>
    <t xml:space="preserve">InfluxDB (2.x/3.x)</t>
  </si>
  <si>
    <t xml:space="preserve">Columnar (3.x is Parquet/Arrow based)</t>
  </si>
  <si>
    <t xml:space="preserve">Yes (tasks / continuous queries)</t>
  </si>
  <si>
    <t xml:space="preserve">influxdb-client (mature)</t>
  </si>
  <si>
    <t xml:space="preserve">Flux (2.x) or SQL (3.x)</t>
  </si>
  <si>
    <t xml:space="preserve">Big architecture shift between 2.x and 3.x - benchmark the version actually deployable</t>
  </si>
  <si>
    <t xml:space="preserve">Benchmark Results - Data Entry Template</t>
  </si>
  <si>
    <t xml:space="preserve">Fill in one row per test run. Use consistent units (ms for latency, rows/sec for throughput, MB/GB for storage).</t>
  </si>
  <si>
    <t xml:space="preserve">Table Size (rows)</t>
  </si>
  <si>
    <t xml:space="preserve">Query / Test Type</t>
  </si>
  <si>
    <t xml:space="preserve">Metric</t>
  </si>
  <si>
    <t xml:space="preserve">Value</t>
  </si>
  <si>
    <t xml:space="preserve">Unit</t>
  </si>
  <si>
    <t xml:space="preserve">VM Config</t>
  </si>
  <si>
    <t xml:space="preserve">Date Tested</t>
  </si>
  <si>
    <t xml:space="preserve">Reference: Query / Test Types</t>
  </si>
  <si>
    <t xml:space="preserve">AVG - unfiltered (full table)</t>
  </si>
  <si>
    <t xml:space="preserve">Latency</t>
  </si>
  <si>
    <t xml:space="preserve">ms</t>
  </si>
  <si>
    <t xml:space="preserve">e.g. 4 vCPU / 16GB</t>
  </si>
  <si>
    <t xml:space="preserve">Point lookup (single sensor, time window)</t>
  </si>
  <si>
    <t xml:space="preserve">Range scan (multi-sensor, time window)</t>
  </si>
  <si>
    <t xml:space="preserve">AVG - filtered (sensor + time range)</t>
  </si>
  <si>
    <t xml:space="preserve">Continuous aggregate query</t>
  </si>
  <si>
    <t xml:space="preserve">Storage footprint</t>
  </si>
  <si>
    <t xml:space="preserve">Weighted Scoring Matrix</t>
  </si>
  <si>
    <t xml:space="preserve">Score each technology 1-5 per criterion. Weighted score pulls the weight from the 'Evaluation Criteria' sheet.</t>
  </si>
  <si>
    <t xml:space="preserve">Weight</t>
  </si>
  <si>
    <t xml:space="preserve">TimescaleDB (score 1-5)</t>
  </si>
  <si>
    <t xml:space="preserve">ClickHouse (score 1-5)</t>
  </si>
  <si>
    <t xml:space="preserve">Apache IoTDB (score 1-5)</t>
  </si>
  <si>
    <t xml:space="preserve">Weighted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</si>
</sst>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1F7A1F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12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n">
        <v>1</v>
      </c>
      <c r="B5" s="5" t="s">
        <v>8</v>
      </c>
      <c r="C5" s="5" t="s">
        <v>9</v>
      </c>
      <c r="D5" s="5" t="s">
        <v>10</v>
      </c>
      <c r="E5" s="4" t="n">
        <v>4</v>
      </c>
      <c r="F5" s="5"/>
    </row>
    <row r="6" customFormat="false" ht="23.85" hidden="false" customHeight="false" outlineLevel="0" collapsed="false">
      <c r="A6" s="4" t="n">
        <v>2</v>
      </c>
      <c r="B6" s="5" t="s">
        <v>11</v>
      </c>
      <c r="C6" s="5" t="s">
        <v>12</v>
      </c>
      <c r="D6" s="5" t="s">
        <v>13</v>
      </c>
      <c r="E6" s="4" t="n">
        <v>5</v>
      </c>
      <c r="F6" s="5"/>
    </row>
    <row r="7" customFormat="false" ht="23.85" hidden="false" customHeight="false" outlineLevel="0" collapsed="false">
      <c r="A7" s="4" t="n">
        <v>3</v>
      </c>
      <c r="B7" s="5" t="s">
        <v>14</v>
      </c>
      <c r="C7" s="5" t="s">
        <v>15</v>
      </c>
      <c r="D7" s="5" t="s">
        <v>16</v>
      </c>
      <c r="E7" s="4" t="n">
        <v>5</v>
      </c>
      <c r="F7" s="5"/>
    </row>
    <row r="8" customFormat="false" ht="23.85" hidden="false" customHeight="false" outlineLevel="0" collapsed="false">
      <c r="A8" s="4" t="n">
        <v>4</v>
      </c>
      <c r="B8" s="5" t="s">
        <v>17</v>
      </c>
      <c r="C8" s="5" t="s">
        <v>18</v>
      </c>
      <c r="D8" s="5" t="s">
        <v>19</v>
      </c>
      <c r="E8" s="4" t="n">
        <v>4</v>
      </c>
      <c r="F8" s="5"/>
    </row>
    <row r="9" customFormat="false" ht="23.85" hidden="false" customHeight="false" outlineLevel="0" collapsed="false">
      <c r="A9" s="4" t="n">
        <v>5</v>
      </c>
      <c r="B9" s="5" t="s">
        <v>20</v>
      </c>
      <c r="C9" s="5" t="s">
        <v>21</v>
      </c>
      <c r="D9" s="5" t="s">
        <v>22</v>
      </c>
      <c r="E9" s="4" t="n">
        <v>3</v>
      </c>
      <c r="F9" s="5"/>
    </row>
    <row r="10" customFormat="false" ht="23.85" hidden="false" customHeight="false" outlineLevel="0" collapsed="false">
      <c r="A10" s="4" t="n">
        <v>6</v>
      </c>
      <c r="B10" s="5" t="s">
        <v>23</v>
      </c>
      <c r="C10" s="5" t="s">
        <v>24</v>
      </c>
      <c r="D10" s="5" t="s">
        <v>25</v>
      </c>
      <c r="E10" s="4" t="n">
        <v>4</v>
      </c>
      <c r="F10" s="5"/>
    </row>
    <row r="11" customFormat="false" ht="23.85" hidden="false" customHeight="false" outlineLevel="0" collapsed="false">
      <c r="A11" s="4" t="n">
        <v>7</v>
      </c>
      <c r="B11" s="5" t="s">
        <v>26</v>
      </c>
      <c r="C11" s="5" t="s">
        <v>27</v>
      </c>
      <c r="D11" s="5" t="s">
        <v>28</v>
      </c>
      <c r="E11" s="4" t="n">
        <v>3</v>
      </c>
      <c r="F11" s="5"/>
    </row>
    <row r="12" customFormat="false" ht="23.85" hidden="false" customHeight="false" outlineLevel="0" collapsed="false">
      <c r="A12" s="4" t="n">
        <v>8</v>
      </c>
      <c r="B12" s="5" t="s">
        <v>29</v>
      </c>
      <c r="C12" s="5" t="s">
        <v>30</v>
      </c>
      <c r="D12" s="5" t="s">
        <v>31</v>
      </c>
      <c r="E12" s="4" t="n">
        <v>5</v>
      </c>
      <c r="F12" s="5"/>
    </row>
    <row r="13" customFormat="false" ht="23.85" hidden="false" customHeight="false" outlineLevel="0" collapsed="false">
      <c r="A13" s="4" t="n">
        <v>9</v>
      </c>
      <c r="B13" s="5" t="s">
        <v>32</v>
      </c>
      <c r="C13" s="5" t="s">
        <v>33</v>
      </c>
      <c r="D13" s="5" t="s">
        <v>34</v>
      </c>
      <c r="E13" s="4" t="n">
        <v>3</v>
      </c>
      <c r="F13" s="5"/>
    </row>
    <row r="14" customFormat="false" ht="23.85" hidden="false" customHeight="false" outlineLevel="0" collapsed="false">
      <c r="A14" s="4" t="n">
        <v>10</v>
      </c>
      <c r="B14" s="5" t="s">
        <v>35</v>
      </c>
      <c r="C14" s="5" t="s">
        <v>36</v>
      </c>
      <c r="D14" s="5" t="s">
        <v>37</v>
      </c>
      <c r="E14" s="4" t="n">
        <v>4</v>
      </c>
      <c r="F14" s="5"/>
    </row>
    <row r="15" customFormat="false" ht="23.85" hidden="false" customHeight="false" outlineLevel="0" collapsed="false">
      <c r="A15" s="4" t="n">
        <v>11</v>
      </c>
      <c r="B15" s="5" t="s">
        <v>38</v>
      </c>
      <c r="C15" s="5" t="s">
        <v>39</v>
      </c>
      <c r="D15" s="5" t="s">
        <v>40</v>
      </c>
      <c r="E15" s="4" t="n">
        <v>3</v>
      </c>
      <c r="F15" s="5"/>
    </row>
    <row r="16" customFormat="false" ht="23.85" hidden="false" customHeight="false" outlineLevel="0" collapsed="false">
      <c r="A16" s="4" t="n">
        <v>12</v>
      </c>
      <c r="B16" s="5" t="s">
        <v>41</v>
      </c>
      <c r="C16" s="5" t="s">
        <v>42</v>
      </c>
      <c r="D16" s="5" t="s">
        <v>43</v>
      </c>
      <c r="E16" s="4" t="n">
        <v>3</v>
      </c>
      <c r="F16" s="5"/>
    </row>
    <row r="17" customFormat="false" ht="23.85" hidden="false" customHeight="false" outlineLevel="0" collapsed="false">
      <c r="A17" s="4" t="n">
        <v>13</v>
      </c>
      <c r="B17" s="5" t="s">
        <v>44</v>
      </c>
      <c r="C17" s="5" t="s">
        <v>45</v>
      </c>
      <c r="D17" s="5" t="s">
        <v>46</v>
      </c>
      <c r="E17" s="4" t="n">
        <v>2</v>
      </c>
      <c r="F17" s="5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26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34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47</v>
      </c>
      <c r="B1" s="1"/>
      <c r="C1" s="1"/>
      <c r="D1" s="1"/>
      <c r="E1" s="1"/>
      <c r="F1" s="1"/>
      <c r="G1" s="1"/>
      <c r="H1" s="1"/>
    </row>
    <row r="3" customFormat="false" ht="28.35" hidden="false" customHeight="false" outlineLevel="0" collapsed="false">
      <c r="A3" s="3" t="s">
        <v>48</v>
      </c>
      <c r="B3" s="3" t="s">
        <v>49</v>
      </c>
      <c r="C3" s="3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3" t="s">
        <v>55</v>
      </c>
    </row>
    <row r="4" customFormat="false" ht="35.05" hidden="false" customHeight="false" outlineLevel="0" collapsed="false">
      <c r="A4" s="5" t="s">
        <v>56</v>
      </c>
      <c r="B4" s="5" t="s">
        <v>57</v>
      </c>
      <c r="C4" s="5" t="s">
        <v>58</v>
      </c>
      <c r="D4" s="5" t="s">
        <v>59</v>
      </c>
      <c r="E4" s="5" t="s">
        <v>60</v>
      </c>
      <c r="F4" s="5" t="s">
        <v>61</v>
      </c>
      <c r="G4" s="5" t="s">
        <v>62</v>
      </c>
      <c r="H4" s="6" t="s">
        <v>63</v>
      </c>
    </row>
    <row r="5" customFormat="false" ht="23.85" hidden="false" customHeight="false" outlineLevel="0" collapsed="false">
      <c r="A5" s="5" t="s">
        <v>64</v>
      </c>
      <c r="B5" s="5" t="s">
        <v>65</v>
      </c>
      <c r="C5" s="5" t="s">
        <v>66</v>
      </c>
      <c r="D5" s="5" t="s">
        <v>67</v>
      </c>
      <c r="E5" s="5" t="s">
        <v>68</v>
      </c>
      <c r="F5" s="5" t="s">
        <v>69</v>
      </c>
      <c r="G5" s="5" t="s">
        <v>70</v>
      </c>
      <c r="H5" s="6" t="s">
        <v>63</v>
      </c>
    </row>
    <row r="6" customFormat="false" ht="35.05" hidden="false" customHeight="false" outlineLevel="0" collapsed="false">
      <c r="A6" s="5" t="s">
        <v>71</v>
      </c>
      <c r="B6" s="5" t="s">
        <v>72</v>
      </c>
      <c r="C6" s="5" t="s">
        <v>73</v>
      </c>
      <c r="D6" s="5" t="s">
        <v>74</v>
      </c>
      <c r="E6" s="5" t="s">
        <v>75</v>
      </c>
      <c r="F6" s="5" t="s">
        <v>76</v>
      </c>
      <c r="G6" s="5" t="s">
        <v>77</v>
      </c>
      <c r="H6" s="4" t="s">
        <v>78</v>
      </c>
    </row>
    <row r="7" customFormat="false" ht="23.85" hidden="false" customHeight="false" outlineLevel="0" collapsed="false">
      <c r="A7" s="5" t="s">
        <v>79</v>
      </c>
      <c r="B7" s="5" t="s">
        <v>80</v>
      </c>
      <c r="C7" s="5" t="s">
        <v>81</v>
      </c>
      <c r="D7" s="5" t="s">
        <v>82</v>
      </c>
      <c r="E7" s="5" t="s">
        <v>83</v>
      </c>
      <c r="F7" s="5" t="s">
        <v>84</v>
      </c>
      <c r="G7" s="5" t="s">
        <v>85</v>
      </c>
      <c r="H7" s="6" t="s">
        <v>86</v>
      </c>
    </row>
    <row r="8" customFormat="false" ht="23.85" hidden="false" customHeight="false" outlineLevel="0" collapsed="false">
      <c r="A8" s="5" t="s">
        <v>87</v>
      </c>
      <c r="B8" s="5" t="s">
        <v>88</v>
      </c>
      <c r="C8" s="5" t="s">
        <v>81</v>
      </c>
      <c r="D8" s="5" t="s">
        <v>89</v>
      </c>
      <c r="E8" s="5" t="s">
        <v>90</v>
      </c>
      <c r="F8" s="5" t="s">
        <v>91</v>
      </c>
      <c r="G8" s="5" t="s">
        <v>92</v>
      </c>
      <c r="H8" s="6" t="s">
        <v>63</v>
      </c>
    </row>
    <row r="9" customFormat="false" ht="23.85" hidden="false" customHeight="false" outlineLevel="0" collapsed="false">
      <c r="A9" s="5" t="s">
        <v>93</v>
      </c>
      <c r="B9" s="5" t="s">
        <v>94</v>
      </c>
      <c r="C9" s="5" t="s">
        <v>81</v>
      </c>
      <c r="D9" s="5" t="s">
        <v>95</v>
      </c>
      <c r="E9" s="5" t="s">
        <v>96</v>
      </c>
      <c r="F9" s="5" t="s">
        <v>97</v>
      </c>
      <c r="G9" s="5" t="s">
        <v>98</v>
      </c>
      <c r="H9" s="4" t="s">
        <v>78</v>
      </c>
    </row>
    <row r="10" customFormat="false" ht="23.85" hidden="false" customHeight="false" outlineLevel="0" collapsed="false">
      <c r="A10" s="5" t="s">
        <v>99</v>
      </c>
      <c r="B10" s="5" t="s">
        <v>100</v>
      </c>
      <c r="C10" s="5" t="s">
        <v>81</v>
      </c>
      <c r="D10" s="5" t="s">
        <v>101</v>
      </c>
      <c r="E10" s="5" t="s">
        <v>102</v>
      </c>
      <c r="F10" s="5" t="s">
        <v>103</v>
      </c>
      <c r="G10" s="5" t="s">
        <v>104</v>
      </c>
      <c r="H10" s="4" t="s">
        <v>78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1" min="11" style="0" width="34"/>
  </cols>
  <sheetData>
    <row r="1" customFormat="false" ht="17.35" hidden="false" customHeight="false" outlineLevel="0" collapsed="false">
      <c r="A1" s="1" t="s">
        <v>105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7" t="s">
        <v>106</v>
      </c>
      <c r="B2" s="7"/>
      <c r="C2" s="7"/>
      <c r="D2" s="7"/>
      <c r="E2" s="7"/>
      <c r="F2" s="7"/>
      <c r="G2" s="7"/>
      <c r="H2" s="7"/>
      <c r="I2" s="7"/>
    </row>
    <row r="4" customFormat="false" ht="15" hidden="false" customHeight="false" outlineLevel="0" collapsed="false">
      <c r="A4" s="3" t="s">
        <v>48</v>
      </c>
      <c r="B4" s="3" t="s">
        <v>107</v>
      </c>
      <c r="C4" s="3" t="s">
        <v>108</v>
      </c>
      <c r="D4" s="3" t="s">
        <v>109</v>
      </c>
      <c r="E4" s="3" t="s">
        <v>110</v>
      </c>
      <c r="F4" s="3" t="s">
        <v>111</v>
      </c>
      <c r="G4" s="3" t="s">
        <v>112</v>
      </c>
      <c r="H4" s="3" t="s">
        <v>113</v>
      </c>
      <c r="I4" s="3" t="s">
        <v>7</v>
      </c>
      <c r="K4" s="8" t="s">
        <v>114</v>
      </c>
    </row>
    <row r="5" customFormat="false" ht="15" hidden="false" customHeight="false" outlineLevel="0" collapsed="false">
      <c r="A5" s="5" t="s">
        <v>56</v>
      </c>
      <c r="B5" s="5" t="n">
        <v>10000000</v>
      </c>
      <c r="C5" s="5" t="s">
        <v>115</v>
      </c>
      <c r="D5" s="5" t="s">
        <v>116</v>
      </c>
      <c r="E5" s="5"/>
      <c r="F5" s="5" t="s">
        <v>117</v>
      </c>
      <c r="G5" s="5" t="s">
        <v>118</v>
      </c>
      <c r="H5" s="5"/>
      <c r="I5" s="5"/>
      <c r="K5" s="9" t="s">
        <v>8</v>
      </c>
    </row>
    <row r="6" customFormat="false" ht="15" hidden="false" customHeight="false" outlineLevel="0" collapsed="false">
      <c r="A6" s="5" t="s">
        <v>56</v>
      </c>
      <c r="B6" s="5" t="n">
        <v>100000000</v>
      </c>
      <c r="C6" s="5" t="s">
        <v>115</v>
      </c>
      <c r="D6" s="5" t="s">
        <v>116</v>
      </c>
      <c r="E6" s="5"/>
      <c r="F6" s="5" t="s">
        <v>117</v>
      </c>
      <c r="G6" s="5"/>
      <c r="H6" s="5"/>
      <c r="I6" s="5"/>
      <c r="K6" s="9" t="s">
        <v>119</v>
      </c>
    </row>
    <row r="7" customFormat="false" ht="15" hidden="false" customHeight="false" outlineLevel="0" collapsed="false">
      <c r="A7" s="5" t="s">
        <v>64</v>
      </c>
      <c r="B7" s="5" t="n">
        <v>10000000</v>
      </c>
      <c r="C7" s="5" t="s">
        <v>115</v>
      </c>
      <c r="D7" s="5" t="s">
        <v>116</v>
      </c>
      <c r="E7" s="5"/>
      <c r="F7" s="5" t="s">
        <v>117</v>
      </c>
      <c r="G7" s="5"/>
      <c r="H7" s="5"/>
      <c r="I7" s="5"/>
      <c r="K7" s="9" t="s">
        <v>120</v>
      </c>
    </row>
    <row r="8" customFormat="false" ht="15" hidden="false" customHeight="false" outlineLevel="0" collapsed="false">
      <c r="A8" s="5" t="s">
        <v>64</v>
      </c>
      <c r="B8" s="5" t="n">
        <v>100000000</v>
      </c>
      <c r="C8" s="5" t="s">
        <v>115</v>
      </c>
      <c r="D8" s="5" t="s">
        <v>116</v>
      </c>
      <c r="E8" s="5"/>
      <c r="F8" s="5" t="s">
        <v>117</v>
      </c>
      <c r="G8" s="5"/>
      <c r="H8" s="5"/>
      <c r="I8" s="5"/>
      <c r="K8" s="9" t="s">
        <v>121</v>
      </c>
    </row>
    <row r="9" customFormat="false" ht="15" hidden="false" customHeight="false" outlineLevel="0" collapsed="false">
      <c r="A9" s="5" t="s">
        <v>87</v>
      </c>
      <c r="B9" s="5" t="n">
        <v>10000000</v>
      </c>
      <c r="C9" s="5" t="s">
        <v>115</v>
      </c>
      <c r="D9" s="5" t="s">
        <v>116</v>
      </c>
      <c r="E9" s="5"/>
      <c r="F9" s="5" t="s">
        <v>117</v>
      </c>
      <c r="G9" s="5"/>
      <c r="H9" s="5"/>
      <c r="I9" s="5"/>
      <c r="K9" s="9" t="s">
        <v>115</v>
      </c>
    </row>
    <row r="10" customFormat="false" ht="15" hidden="false" customHeight="false" outlineLevel="0" collapsed="false">
      <c r="A10" s="5" t="s">
        <v>87</v>
      </c>
      <c r="B10" s="5" t="n">
        <v>100000000</v>
      </c>
      <c r="C10" s="5" t="s">
        <v>115</v>
      </c>
      <c r="D10" s="5" t="s">
        <v>116</v>
      </c>
      <c r="E10" s="5"/>
      <c r="F10" s="5" t="s">
        <v>117</v>
      </c>
      <c r="G10" s="5"/>
      <c r="H10" s="5"/>
      <c r="I10" s="5"/>
      <c r="K10" s="9" t="s">
        <v>122</v>
      </c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K11" s="9" t="s">
        <v>123</v>
      </c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5" min="3" style="0" width="20"/>
  </cols>
  <sheetData>
    <row r="1" customFormat="false" ht="17.35" hidden="false" customHeight="false" outlineLevel="0" collapsed="false">
      <c r="A1" s="1" t="s">
        <v>124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7" t="s">
        <v>125</v>
      </c>
      <c r="B2" s="7"/>
      <c r="C2" s="7"/>
      <c r="D2" s="7"/>
      <c r="E2" s="7"/>
      <c r="F2" s="7"/>
    </row>
    <row r="4" customFormat="false" ht="28.35" hidden="false" customHeight="false" outlineLevel="0" collapsed="false">
      <c r="A4" s="11" t="s">
        <v>3</v>
      </c>
      <c r="B4" s="11" t="s">
        <v>126</v>
      </c>
      <c r="C4" s="3" t="s">
        <v>127</v>
      </c>
      <c r="D4" s="3" t="s">
        <v>128</v>
      </c>
      <c r="E4" s="3" t="s">
        <v>129</v>
      </c>
    </row>
    <row r="5" customFormat="false" ht="15" hidden="false" customHeight="false" outlineLevel="0" collapsed="false">
      <c r="A5" s="5" t="s">
        <v>8</v>
      </c>
      <c r="B5" s="4" t="n">
        <f aca="false">'Evaluation Criteria'!E5</f>
        <v>4</v>
      </c>
      <c r="C5" s="12"/>
      <c r="D5" s="12"/>
      <c r="E5" s="12"/>
    </row>
    <row r="6" customFormat="false" ht="15" hidden="false" customHeight="false" outlineLevel="0" collapsed="false">
      <c r="A6" s="5" t="s">
        <v>11</v>
      </c>
      <c r="B6" s="4" t="n">
        <f aca="false">'Evaluation Criteria'!E6</f>
        <v>5</v>
      </c>
      <c r="C6" s="12"/>
      <c r="D6" s="12"/>
      <c r="E6" s="12"/>
    </row>
    <row r="7" customFormat="false" ht="15" hidden="false" customHeight="false" outlineLevel="0" collapsed="false">
      <c r="A7" s="5" t="s">
        <v>14</v>
      </c>
      <c r="B7" s="4" t="n">
        <f aca="false">'Evaluation Criteria'!E7</f>
        <v>5</v>
      </c>
      <c r="C7" s="12"/>
      <c r="D7" s="12"/>
      <c r="E7" s="12"/>
    </row>
    <row r="8" customFormat="false" ht="15" hidden="false" customHeight="false" outlineLevel="0" collapsed="false">
      <c r="A8" s="5" t="s">
        <v>17</v>
      </c>
      <c r="B8" s="4" t="n">
        <f aca="false">'Evaluation Criteria'!E8</f>
        <v>4</v>
      </c>
      <c r="C8" s="12"/>
      <c r="D8" s="12"/>
      <c r="E8" s="12"/>
    </row>
    <row r="9" customFormat="false" ht="15" hidden="false" customHeight="false" outlineLevel="0" collapsed="false">
      <c r="A9" s="5" t="s">
        <v>20</v>
      </c>
      <c r="B9" s="4" t="n">
        <f aca="false">'Evaluation Criteria'!E9</f>
        <v>3</v>
      </c>
      <c r="C9" s="12"/>
      <c r="D9" s="12"/>
      <c r="E9" s="12"/>
    </row>
    <row r="10" customFormat="false" ht="15" hidden="false" customHeight="false" outlineLevel="0" collapsed="false">
      <c r="A10" s="5" t="s">
        <v>23</v>
      </c>
      <c r="B10" s="4" t="n">
        <f aca="false">'Evaluation Criteria'!E10</f>
        <v>4</v>
      </c>
      <c r="C10" s="12"/>
      <c r="D10" s="12"/>
      <c r="E10" s="12"/>
    </row>
    <row r="11" customFormat="false" ht="15" hidden="false" customHeight="false" outlineLevel="0" collapsed="false">
      <c r="A11" s="5" t="s">
        <v>26</v>
      </c>
      <c r="B11" s="4" t="n">
        <f aca="false">'Evaluation Criteria'!E11</f>
        <v>3</v>
      </c>
      <c r="C11" s="12"/>
      <c r="D11" s="12"/>
      <c r="E11" s="12"/>
    </row>
    <row r="12" customFormat="false" ht="15" hidden="false" customHeight="false" outlineLevel="0" collapsed="false">
      <c r="A12" s="5" t="s">
        <v>29</v>
      </c>
      <c r="B12" s="4" t="n">
        <f aca="false">'Evaluation Criteria'!E12</f>
        <v>5</v>
      </c>
      <c r="C12" s="12"/>
      <c r="D12" s="12"/>
      <c r="E12" s="12"/>
    </row>
    <row r="13" customFormat="false" ht="15" hidden="false" customHeight="false" outlineLevel="0" collapsed="false">
      <c r="A13" s="5" t="s">
        <v>32</v>
      </c>
      <c r="B13" s="4" t="n">
        <f aca="false">'Evaluation Criteria'!E13</f>
        <v>3</v>
      </c>
      <c r="C13" s="12"/>
      <c r="D13" s="12"/>
      <c r="E13" s="12"/>
    </row>
    <row r="14" customFormat="false" ht="15" hidden="false" customHeight="false" outlineLevel="0" collapsed="false">
      <c r="A14" s="5" t="s">
        <v>35</v>
      </c>
      <c r="B14" s="4" t="n">
        <f aca="false">'Evaluation Criteria'!E14</f>
        <v>4</v>
      </c>
      <c r="C14" s="12"/>
      <c r="D14" s="12"/>
      <c r="E14" s="12"/>
    </row>
    <row r="15" customFormat="false" ht="15" hidden="false" customHeight="false" outlineLevel="0" collapsed="false">
      <c r="A15" s="5" t="s">
        <v>38</v>
      </c>
      <c r="B15" s="4" t="n">
        <f aca="false">'Evaluation Criteria'!E15</f>
        <v>3</v>
      </c>
      <c r="C15" s="12"/>
      <c r="D15" s="12"/>
      <c r="E15" s="12"/>
    </row>
    <row r="16" customFormat="false" ht="15" hidden="false" customHeight="false" outlineLevel="0" collapsed="false">
      <c r="A16" s="5" t="s">
        <v>41</v>
      </c>
      <c r="B16" s="4" t="n">
        <f aca="false">'Evaluation Criteria'!E16</f>
        <v>3</v>
      </c>
      <c r="C16" s="12"/>
      <c r="D16" s="12"/>
      <c r="E16" s="12"/>
    </row>
    <row r="17" customFormat="false" ht="15" hidden="false" customHeight="false" outlineLevel="0" collapsed="false">
      <c r="A17" s="5" t="s">
        <v>44</v>
      </c>
      <c r="B17" s="4" t="n">
        <f aca="false">'Evaluation Criteria'!E17</f>
        <v>2</v>
      </c>
      <c r="C17" s="12"/>
      <c r="D17" s="12"/>
      <c r="E17" s="12"/>
    </row>
    <row r="18" customFormat="false" ht="15" hidden="false" customHeight="false" outlineLevel="0" collapsed="false">
      <c r="A18" s="13" t="s">
        <v>130</v>
      </c>
      <c r="B18" s="14"/>
      <c r="C18" s="15" t="n">
        <f aca="false">SUMPRODUCT($B5:$B17,C5:C17)</f>
        <v>0</v>
      </c>
      <c r="D18" s="15" t="n">
        <f aca="false">SUMPRODUCT($B5:$B17,D5:D17)</f>
        <v>0</v>
      </c>
      <c r="E18" s="15" t="n">
        <f aca="false">SUMPRODUCT($B5:$B17,E5:E17)</f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2026-07-06T23:45:07Z</dcterms:created>
  <dc:creator>openpyxl</dc:creator>
  <dc:description/>
  <dc:language>en-US</dc:language>
  <cp:lastModifiedBy/>
  <dcterms:modified xsi:type="dcterms:W3CDTF">2026-07-06T23:45:07Z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